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3C304F16-4D88-4421-BBA3-FE1FB768B317}" xr6:coauthVersionLast="47" xr6:coauthVersionMax="47" xr10:uidLastSave="{00000000-0000-0000-0000-000000000000}"/>
  <bookViews>
    <workbookView xWindow="6135" yWindow="3960" windowWidth="14490" windowHeight="11235" activeTab="1" xr2:uid="{E765DADF-D2BE-406E-BD62-017AEAA737B4}"/>
  </bookViews>
  <sheets>
    <sheet name="DOBLEZ" sheetId="1" r:id="rId1"/>
    <sheet name="CORTE" sheetId="2" r:id="rId2"/>
  </sheets>
  <calcPr calcId="191029"/>
  <customWorkbookViews>
    <customWorkbookView name="Estacion Maquinados - Vista personalizada" guid="{53DA60FB-F6FF-4099-BF26-7314F3349173}" mergeInterval="0" personalView="1" xWindow="409" yWindow="264" windowWidth="966" windowHeight="749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2" l="1"/>
  <c r="D7" i="2"/>
  <c r="E6" i="2"/>
  <c r="D6" i="2"/>
  <c r="E5" i="2"/>
  <c r="D5" i="2"/>
  <c r="E4" i="2"/>
  <c r="D4" i="2"/>
  <c r="E3" i="2"/>
  <c r="D3" i="2"/>
  <c r="E2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D2" i="1"/>
  <c r="C2" i="1"/>
</calcChain>
</file>

<file path=xl/sharedStrings.xml><?xml version="1.0" encoding="utf-8"?>
<sst xmlns="http://schemas.openxmlformats.org/spreadsheetml/2006/main" count="38" uniqueCount="31">
  <si>
    <t>MEDIDA</t>
  </si>
  <si>
    <t>DIMENSION</t>
  </si>
  <si>
    <t>L.I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</si>
  <si>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</si>
  <si>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</si>
  <si>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</si>
  <si>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</si>
  <si>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</si>
  <si>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</si>
  <si>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</si>
  <si>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</si>
  <si>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</si>
  <si>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</si>
  <si>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</si>
  <si>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</si>
  <si>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</si>
  <si>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N</t>
  </si>
  <si>
    <t>Ñ</t>
  </si>
  <si>
    <t>O</t>
  </si>
  <si>
    <t>P</t>
  </si>
  <si>
    <t>M</t>
  </si>
  <si>
    <t>Q</t>
  </si>
  <si>
    <t>R</t>
  </si>
  <si>
    <r>
      <t xml:space="preserve">VALOR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MFG</t>
    </r>
  </si>
  <si>
    <r>
      <t xml:space="preserve">VoBo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MFG</t>
    </r>
  </si>
  <si>
    <r>
      <t xml:space="preserve">VALOR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CAL</t>
    </r>
  </si>
  <si>
    <r>
      <t xml:space="preserve">VoBo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CAL</t>
    </r>
  </si>
  <si>
    <t>NO.</t>
  </si>
  <si>
    <t>RESP</t>
  </si>
  <si>
    <t>Dim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</si>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</sst>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1"/>
      <color theme="1"/>
      <name val="SWGD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6E99CCA7-8C24-47D0-9381-2EA1E2A3033A}" diskRevisions="1" revisionId="128" version="3">
  <header guid="{0A3457F9-CAA1-4BE4-854C-C0173C4EE859}" dateTime="2026-06-16T12:58:15" maxSheetId="2" userName="Estacion Maquinados" r:id="rId1">
    <sheetIdMap count="1">
      <sheetId val="1"/>
    </sheetIdMap>
  </header>
  <header guid="{290238D0-7856-45E5-AAD9-384DD2417765}" dateTime="2026-06-16T16:09:17" maxSheetId="2" userName="Estacion Maquinados" r:id="rId2" minRId="1" maxRId="91">
    <sheetIdMap count="1">
      <sheetId val="1"/>
    </sheetIdMap>
  </header>
  <header guid="{6E99CCA7-8C24-47D0-9381-2EA1E2A3033A}" dateTime="2026-07-09T16:59:09" maxSheetId="3" userName="Estacion Maquinados" r:id="rId3" minRId="92" maxRId="128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2" t="inlineStr">
      <is>
        <t>A</t>
      </is>
    </nc>
  </rcc>
  <rcc rId="2" sId="1">
    <nc r="A3" t="inlineStr">
      <is>
        <t>B</t>
      </is>
    </nc>
  </rcc>
  <rrc rId="3" sId="1" eol="1" ref="A4:XFD4" action="insertRow"/>
  <rcc rId="4" sId="1">
    <nc r="A4" t="inlineStr">
      <is>
        <t>C</t>
      </is>
    </nc>
  </rcc>
  <rfmt sheetId="1" sqref="A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5" sId="1" eol="1" ref="A5:XFD5" action="insertRow"/>
  <rcc rId="6" sId="1">
    <nc r="A5" t="inlineStr">
      <is>
        <t>D</t>
      </is>
    </nc>
  </rcc>
  <rfmt sheetId="1" sqref="A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7" sId="1" eol="1" ref="A6:XFD6" action="insertRow"/>
  <rcc rId="8" sId="1">
    <nc r="A6" t="inlineStr">
      <is>
        <t>E</t>
      </is>
    </nc>
  </rcc>
  <rfmt sheetId="1" sqref="A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9" sId="1" eol="1" ref="A7:XFD7" action="insertRow"/>
  <rcc rId="10" sId="1">
    <nc r="A7" t="inlineStr">
      <is>
        <t>F</t>
      </is>
    </nc>
  </rcc>
  <rfmt sheetId="1" sqref="A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1" sId="1" eol="1" ref="A8:XFD8" action="insertRow"/>
  <rcc rId="12" sId="1">
    <nc r="A8" t="inlineStr">
      <is>
        <t>G</t>
      </is>
    </nc>
  </rcc>
  <rfmt sheetId="1" sqref="A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3" sId="1" eol="1" ref="A9:XFD9" action="insertRow"/>
  <rcc rId="14" sId="1">
    <nc r="A9" t="inlineStr">
      <is>
        <t>H</t>
      </is>
    </nc>
  </rcc>
  <rfmt sheetId="1" sqref="A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5" sId="1" eol="1" ref="A10:XFD10" action="insertRow"/>
  <rcc rId="16" sId="1">
    <nc r="A10" t="inlineStr">
      <is>
        <t>I</t>
      </is>
    </nc>
  </rcc>
  <rfmt sheetId="1" sqref="A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7" sId="1" eol="1" ref="A11:XFD11" action="insertRow"/>
  <rcc rId="18" sId="1">
    <nc r="A11" t="inlineStr">
      <is>
        <t>J</t>
      </is>
    </nc>
  </rcc>
  <rfmt sheetId="1" sqref="A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9" sId="1" eol="1" ref="A12:XFD12" action="insertRow"/>
  <rcc rId="20" sId="1">
    <nc r="A12" t="inlineStr">
      <is>
        <t>K</t>
      </is>
    </nc>
  </rcc>
  <rfmt sheetId="1" sqref="A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1" sId="1" eol="1" ref="A13:XFD13" action="insertRow"/>
  <rcc rId="22" sId="1">
    <nc r="A13" t="inlineStr">
      <is>
        <t>L</t>
      </is>
    </nc>
  </rcc>
  <rfmt sheetId="1" sqref="A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3" sId="1" eol="1" ref="A14:XFD14" action="insertRow"/>
  <rfmt sheetId="1" sqref="A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4" sId="1" eol="1" ref="A15:XFD15" action="insertRow"/>
  <rcc rId="25" sId="1">
    <nc r="A15" t="inlineStr">
      <is>
        <t>N</t>
      </is>
    </nc>
  </rcc>
  <rfmt sheetId="1" sqref="A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6" sId="1" eol="1" ref="A16:XFD16" action="insertRow"/>
  <rcc rId="27" sId="1">
    <nc r="A16" t="inlineStr">
      <is>
        <t>Ñ</t>
      </is>
    </nc>
  </rcc>
  <rfmt sheetId="1" sqref="A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8" sId="1" eol="1" ref="A17:XFD17" action="insertRow"/>
  <rcc rId="29" sId="1">
    <nc r="A17" t="inlineStr">
      <is>
        <t>O</t>
      </is>
    </nc>
  </rcc>
  <rfmt sheetId="1" sqref="A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0" sId="1" eol="1" ref="A18:XFD18" action="insertRow"/>
  <rcc rId="31" sId="1">
    <nc r="A18" t="inlineStr">
      <is>
        <t>P</t>
      </is>
    </nc>
  </rcc>
  <rfmt sheetId="1" sqref="A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32" sId="1">
    <nc r="A14" t="inlineStr">
      <is>
        <t>M</t>
      </is>
    </nc>
  </rcc>
  <rfmt sheetId="1" sqref="B2:B23">
    <dxf>
      <numFmt numFmtId="164" formatCode="0.000"/>
    </dxf>
  </rfmt>
  <rcc rId="33" sId="1">
    <nc r="A19" t="inlineStr">
      <is>
        <t>Q</t>
      </is>
    </nc>
  </rcc>
  <rfmt sheetId="1" sqref="A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34" sId="1">
    <nc r="A20" t="inlineStr">
      <is>
        <t>R</t>
      </is>
    </nc>
  </rcc>
  <rfmt sheetId="1" sqref="A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35" sId="1" numFmtId="4">
    <nc r="B2">
      <v>1.23</v>
    </nc>
  </rcc>
  <rcc rId="36" sId="1" numFmtId="4">
    <nc r="B3">
      <v>3.72</v>
    </nc>
  </rcc>
  <rcc rId="37" sId="1" odxf="1" dxf="1" numFmtId="4">
    <nc r="B4">
      <v>1.25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8" sId="1" odxf="1" dxf="1" numFmtId="4">
    <nc r="B5">
      <v>17.41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9" sId="1" odxf="1" dxf="1" numFmtId="4">
    <nc r="B6">
      <v>15.6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0" sId="1" odxf="1" dxf="1" numFmtId="4">
    <nc r="B7">
      <v>4.97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1" sId="1" odxf="1" dxf="1" numFmtId="4">
    <nc r="B8">
      <v>19.940000000000001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2" sId="1" odxf="1" dxf="1" numFmtId="4">
    <nc r="B9">
      <v>0.34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3" sId="1" odxf="1" dxf="1" numFmtId="4">
    <nc r="B10">
      <v>3.63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4" sId="1" odxf="1" dxf="1" numFmtId="4">
    <nc r="B11">
      <v>9.9700000000000006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5" sId="1" odxf="1" dxf="1" numFmtId="4">
    <nc r="B12">
      <v>8.16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6" sId="1" odxf="1" dxf="1" numFmtId="4">
    <nc r="B13">
      <v>0.5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7" sId="1" odxf="1" dxf="1" numFmtId="4">
    <nc r="B14">
      <v>0.25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8" sId="1" odxf="1" dxf="1" numFmtId="4">
    <nc r="B15">
      <v>34.81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9" sId="1" odxf="1" dxf="1" numFmtId="4">
    <nc r="B16">
      <v>0.75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0" sId="1" odxf="1" dxf="1" numFmtId="4">
    <nc r="B17">
      <v>0.12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1" sId="1" odxf="1" dxf="1" numFmtId="4">
    <nc r="B18">
      <v>2.95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2" sId="1" odxf="1" dxf="1" numFmtId="4">
    <nc r="B19">
      <v>2.8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3" sId="1" odxf="1" dxf="1" numFmtId="4">
    <nc r="B20">
      <v>0.23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4" sId="1" odxf="1" dxf="1">
    <nc r="C2">
      <f>B2-0.015</f>
    </nc>
    <odxf>
      <numFmt numFmtId="0" formatCode="General"/>
    </odxf>
    <ndxf>
      <numFmt numFmtId="164" formatCode="0.000"/>
    </ndxf>
  </rcc>
  <rcc rId="55" sId="1" odxf="1" dxf="1">
    <nc r="D2">
      <f>B2+0.015</f>
    </nc>
    <odxf>
      <numFmt numFmtId="0" formatCode="General"/>
    </odxf>
    <ndxf>
      <numFmt numFmtId="164" formatCode="0.000"/>
    </ndxf>
  </rcc>
  <rcc rId="56" sId="1" odxf="1" dxf="1">
    <nc r="C3">
      <f>B3-0.015</f>
    </nc>
    <odxf>
      <numFmt numFmtId="0" formatCode="General"/>
    </odxf>
    <ndxf>
      <numFmt numFmtId="164" formatCode="0.000"/>
    </ndxf>
  </rcc>
  <rcc rId="57" sId="1" odxf="1" dxf="1">
    <nc r="C4">
      <f>B4-0.015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58" sId="1" odxf="1" dxf="1">
    <nc r="C5">
      <f>B5-0.015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59" sId="1" odxf="1" dxf="1">
    <nc r="C6">
      <f>B6-0.015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60" sId="1" odxf="1" dxf="1">
    <nc r="C7">
      <f>B7-0.015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61" sId="1" odxf="1" dxf="1">
    <nc r="C8">
      <f>B8-0.015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62" sId="1" odxf="1" dxf="1">
    <nc r="C9">
      <f>B9-0.015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63" sId="1" odxf="1" dxf="1">
    <nc r="C10">
      <f>B10-0.015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64" sId="1" odxf="1" dxf="1">
    <nc r="C11">
      <f>B11-0.015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65" sId="1" odxf="1" dxf="1">
    <nc r="C12">
      <f>B12-0.015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66" sId="1" odxf="1" dxf="1">
    <nc r="C13">
      <f>B13-0.015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67" sId="1" odxf="1" dxf="1">
    <nc r="C14">
      <f>B14-0.015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68" sId="1" odxf="1" dxf="1">
    <nc r="C15">
      <f>B15-0.015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69" sId="1" odxf="1" dxf="1">
    <nc r="C16">
      <f>B16-0.015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70" sId="1" odxf="1" dxf="1">
    <nc r="C17">
      <f>B17-0.015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71" sId="1" odxf="1" dxf="1">
    <nc r="C18">
      <f>B18-0.015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72" sId="1" odxf="1" dxf="1">
    <nc r="C19">
      <f>B19-0.015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73" sId="1" odxf="1" dxf="1">
    <nc r="C20">
      <f>B20-0.015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74" sId="1" odxf="1" dxf="1">
    <nc r="D3">
      <f>B3+0.015</f>
    </nc>
    <odxf>
      <numFmt numFmtId="0" formatCode="General"/>
    </odxf>
    <ndxf>
      <numFmt numFmtId="164" formatCode="0.000"/>
    </ndxf>
  </rcc>
  <rcc rId="75" sId="1" odxf="1" dxf="1">
    <nc r="D4">
      <f>B4+0.015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76" sId="1" odxf="1" dxf="1">
    <nc r="D5">
      <f>B5+0.015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77" sId="1" odxf="1" dxf="1">
    <nc r="D6">
      <f>B6+0.015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78" sId="1" odxf="1" dxf="1">
    <nc r="D7">
      <f>B7+0.015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79" sId="1" odxf="1" dxf="1">
    <nc r="D8">
      <f>B8+0.015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80" sId="1" odxf="1" dxf="1">
    <nc r="D9">
      <f>B9+0.015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81" sId="1" odxf="1" dxf="1">
    <nc r="D10">
      <f>B10+0.015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82" sId="1" odxf="1" dxf="1">
    <nc r="D11">
      <f>B11+0.015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83" sId="1" odxf="1" dxf="1">
    <nc r="D12">
      <f>B12+0.015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84" sId="1" odxf="1" dxf="1">
    <nc r="D13">
      <f>B13+0.015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85" sId="1" odxf="1" dxf="1">
    <nc r="D14">
      <f>B14+0.015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86" sId="1" odxf="1" dxf="1">
    <nc r="D15">
      <f>B15+0.015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87" sId="1" odxf="1" dxf="1">
    <nc r="D16">
      <f>B16+0.015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88" sId="1" odxf="1" dxf="1">
    <nc r="D17">
      <f>B17+0.015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89" sId="1" odxf="1" dxf="1">
    <nc r="D18">
      <f>B18+0.015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90" sId="1" odxf="1" dxf="1">
    <nc r="D19">
      <f>B19+0.015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91" sId="1" odxf="1" dxf="1">
    <nc r="D20">
      <f>B20+0.015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fmt sheetId="1" sqref="A1:H20" start="0" length="2147483647">
    <dxf>
      <font>
        <sz val="11"/>
      </font>
    </dxf>
  </rfmt>
  <rfmt sheetId="1" sqref="A1:A20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20" start="0" length="0">
    <dxf>
      <border>
        <right style="thin">
          <color indexed="64"/>
        </right>
      </border>
    </dxf>
  </rfmt>
  <rfmt sheetId="1" sqref="A20:H20" start="0" length="0">
    <dxf>
      <border>
        <bottom style="thin">
          <color indexed="64"/>
        </bottom>
      </border>
    </dxf>
  </rfmt>
  <rfmt sheetId="1" sqref="A1:H2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92" sheetId="2" name="[12-A-6359-02.xlsx]CORTE" sheetPosition="1"/>
  <rcc rId="93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4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5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6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7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8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9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0" sId="2" odxf="1" dxf="1" numFmtId="4">
    <nc r="C2">
      <v>16.085000000000001</v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1" sId="2" odxf="1" dxf="1">
    <nc r="D2">
      <f>C2-0.015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2" sId="2" odxf="1" dxf="1">
    <nc r="E2">
      <f>C2+0.015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3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4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5" sId="2" odxf="1" dxf="1" numFmtId="4">
    <nc r="C3">
      <v>35.704999999999998</v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6" sId="2" odxf="1" dxf="1">
    <nc r="D3">
      <f>C3-0.015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7" sId="2" odxf="1" dxf="1">
    <nc r="E3">
      <f>C3+0.015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8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9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0" sId="2" odxf="1" dxf="1" numFmtId="4">
    <nc r="C4">
      <v>34.31</v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1" sId="2" odxf="1" dxf="1">
    <nc r="D4">
      <f>C4-0.015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2" sId="2" odxf="1" dxf="1">
    <nc r="E4">
      <f>C4+0.015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3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4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5" sId="2" odxf="1" dxf="1" numFmtId="4">
    <nc r="C5">
      <v>14.44</v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6" sId="2" odxf="1" dxf="1">
    <nc r="D5">
      <f>C5-0.015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7" sId="2" odxf="1" dxf="1">
    <nc r="E5">
      <f>C5+0.015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" sId="2" odxf="1" dxf="1">
    <nc r="A6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" sId="2" odxf="1" dxf="1" numFmtId="4">
    <nc r="C6">
      <v>0.19</v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1" sId="2" odxf="1" dxf="1">
    <nc r="D6">
      <f>C6-0.015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2" sId="2" odxf="1" dxf="1">
    <nc r="E6">
      <f>C6+0.015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" sId="2" odxf="1" dxf="1">
    <nc r="A7">
      <v>6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" sId="2" odxf="1" dxf="1">
    <nc r="B7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" sId="2" odxf="1" dxf="1" numFmtId="4">
    <nc r="C7">
      <v>0.312</v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" sId="2" odxf="1" dxf="1">
    <nc r="D7">
      <f>C7-0.015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" sId="2" odxf="1" dxf="1">
    <nc r="E7">
      <f>C7+0.015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v guid="{53DA60FB-F6FF-4099-BF26-7314F3349173}" action="delete"/>
  <rcv guid="{53DA60FB-F6FF-4099-BF26-7314F3349173}" action="add"/>
  <rsnm rId="128" sheetId="1" oldName="[12-A-6359-02.xlsx]Hoja1" newName="[12-A-6359-02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6E99CCA7-8C24-47D0-9381-2EA1E2A3033A}" name="Estacion Maquinados" id="-1940267473" dateTime="2026-07-09T16:58:31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4908F-EA1A-4B08-924D-48942E65E024}">
  <dimension ref="A1:H23"/>
  <sheetViews>
    <sheetView workbookViewId="0">
      <selection activeCell="K12" sqref="K12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9.28515625" customWidth="1"/>
    <col min="4" max="4" width="11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8" ht="3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23</v>
      </c>
      <c r="F1" s="2" t="s">
        <v>24</v>
      </c>
      <c r="G1" s="2" t="s">
        <v>25</v>
      </c>
      <c r="H1" s="2" t="s">
        <v>26</v>
      </c>
    </row>
    <row r="2" spans="1:8" ht="16.5" x14ac:dyDescent="0.25">
      <c r="A2" s="2" t="s">
        <v>4</v>
      </c>
      <c r="B2" s="3">
        <v>1.23</v>
      </c>
      <c r="C2" s="3">
        <f>B2-0.015</f>
        <v>1.2150000000000001</v>
      </c>
      <c r="D2" s="3">
        <f>B2+0.015</f>
        <v>1.2449999999999999</v>
      </c>
      <c r="E2" s="2"/>
      <c r="F2" s="2"/>
      <c r="G2" s="2"/>
      <c r="H2" s="2"/>
    </row>
    <row r="3" spans="1:8" ht="16.5" x14ac:dyDescent="0.25">
      <c r="A3" s="2" t="s">
        <v>5</v>
      </c>
      <c r="B3" s="3">
        <v>3.72</v>
      </c>
      <c r="C3" s="3">
        <f t="shared" ref="C3:C20" si="0">B3-0.015</f>
        <v>3.7050000000000001</v>
      </c>
      <c r="D3" s="3">
        <f t="shared" ref="D3:D20" si="1">B3+0.015</f>
        <v>3.7350000000000003</v>
      </c>
      <c r="E3" s="2"/>
      <c r="F3" s="2"/>
      <c r="G3" s="2"/>
      <c r="H3" s="2"/>
    </row>
    <row r="4" spans="1:8" ht="16.5" x14ac:dyDescent="0.25">
      <c r="A4" s="2" t="s">
        <v>6</v>
      </c>
      <c r="B4" s="3">
        <v>1.25</v>
      </c>
      <c r="C4" s="3">
        <f t="shared" si="0"/>
        <v>1.2350000000000001</v>
      </c>
      <c r="D4" s="3">
        <f t="shared" si="1"/>
        <v>1.2649999999999999</v>
      </c>
      <c r="E4" s="4"/>
      <c r="F4" s="4"/>
      <c r="G4" s="4"/>
      <c r="H4" s="4"/>
    </row>
    <row r="5" spans="1:8" ht="16.5" x14ac:dyDescent="0.25">
      <c r="A5" s="2" t="s">
        <v>7</v>
      </c>
      <c r="B5" s="3">
        <v>17.41</v>
      </c>
      <c r="C5" s="3">
        <f t="shared" si="0"/>
        <v>17.395</v>
      </c>
      <c r="D5" s="3">
        <f t="shared" si="1"/>
        <v>17.425000000000001</v>
      </c>
      <c r="E5" s="4"/>
      <c r="F5" s="4"/>
      <c r="G5" s="4"/>
      <c r="H5" s="4"/>
    </row>
    <row r="6" spans="1:8" ht="16.5" x14ac:dyDescent="0.25">
      <c r="A6" s="2" t="s">
        <v>8</v>
      </c>
      <c r="B6" s="3">
        <v>15.6</v>
      </c>
      <c r="C6" s="3">
        <f t="shared" si="0"/>
        <v>15.584999999999999</v>
      </c>
      <c r="D6" s="3">
        <f t="shared" si="1"/>
        <v>15.615</v>
      </c>
      <c r="E6" s="4"/>
      <c r="F6" s="4"/>
      <c r="G6" s="4"/>
      <c r="H6" s="4"/>
    </row>
    <row r="7" spans="1:8" ht="16.5" x14ac:dyDescent="0.25">
      <c r="A7" s="2" t="s">
        <v>9</v>
      </c>
      <c r="B7" s="3">
        <v>4.97</v>
      </c>
      <c r="C7" s="3">
        <f t="shared" si="0"/>
        <v>4.9550000000000001</v>
      </c>
      <c r="D7" s="3">
        <f t="shared" si="1"/>
        <v>4.9849999999999994</v>
      </c>
      <c r="E7" s="4"/>
      <c r="F7" s="4"/>
      <c r="G7" s="4"/>
      <c r="H7" s="4"/>
    </row>
    <row r="8" spans="1:8" ht="16.5" x14ac:dyDescent="0.25">
      <c r="A8" s="2" t="s">
        <v>10</v>
      </c>
      <c r="B8" s="3">
        <v>19.940000000000001</v>
      </c>
      <c r="C8" s="3">
        <f t="shared" si="0"/>
        <v>19.925000000000001</v>
      </c>
      <c r="D8" s="3">
        <f t="shared" si="1"/>
        <v>19.955000000000002</v>
      </c>
      <c r="E8" s="4"/>
      <c r="F8" s="4"/>
      <c r="G8" s="4"/>
      <c r="H8" s="4"/>
    </row>
    <row r="9" spans="1:8" ht="16.5" x14ac:dyDescent="0.25">
      <c r="A9" s="2" t="s">
        <v>11</v>
      </c>
      <c r="B9" s="3">
        <v>0.34</v>
      </c>
      <c r="C9" s="3">
        <f t="shared" si="0"/>
        <v>0.32500000000000001</v>
      </c>
      <c r="D9" s="3">
        <f t="shared" si="1"/>
        <v>0.35500000000000004</v>
      </c>
      <c r="E9" s="4"/>
      <c r="F9" s="4"/>
      <c r="G9" s="4"/>
      <c r="H9" s="4"/>
    </row>
    <row r="10" spans="1:8" ht="16.5" x14ac:dyDescent="0.25">
      <c r="A10" s="2" t="s">
        <v>12</v>
      </c>
      <c r="B10" s="3">
        <v>3.63</v>
      </c>
      <c r="C10" s="3">
        <f t="shared" si="0"/>
        <v>3.6149999999999998</v>
      </c>
      <c r="D10" s="3">
        <f t="shared" si="1"/>
        <v>3.645</v>
      </c>
      <c r="E10" s="4"/>
      <c r="F10" s="4"/>
      <c r="G10" s="4"/>
      <c r="H10" s="4"/>
    </row>
    <row r="11" spans="1:8" ht="16.5" x14ac:dyDescent="0.25">
      <c r="A11" s="2" t="s">
        <v>13</v>
      </c>
      <c r="B11" s="3">
        <v>9.9700000000000006</v>
      </c>
      <c r="C11" s="3">
        <f t="shared" si="0"/>
        <v>9.9550000000000001</v>
      </c>
      <c r="D11" s="3">
        <f t="shared" si="1"/>
        <v>9.9850000000000012</v>
      </c>
      <c r="E11" s="4"/>
      <c r="F11" s="4"/>
      <c r="G11" s="4"/>
      <c r="H11" s="4"/>
    </row>
    <row r="12" spans="1:8" ht="16.5" x14ac:dyDescent="0.25">
      <c r="A12" s="2" t="s">
        <v>14</v>
      </c>
      <c r="B12" s="3">
        <v>8.16</v>
      </c>
      <c r="C12" s="3">
        <f t="shared" si="0"/>
        <v>8.1449999999999996</v>
      </c>
      <c r="D12" s="3">
        <f t="shared" si="1"/>
        <v>8.1750000000000007</v>
      </c>
      <c r="E12" s="4"/>
      <c r="F12" s="4"/>
      <c r="G12" s="4"/>
      <c r="H12" s="4"/>
    </row>
    <row r="13" spans="1:8" ht="16.5" x14ac:dyDescent="0.25">
      <c r="A13" s="2" t="s">
        <v>15</v>
      </c>
      <c r="B13" s="3">
        <v>0.5</v>
      </c>
      <c r="C13" s="3">
        <f t="shared" si="0"/>
        <v>0.48499999999999999</v>
      </c>
      <c r="D13" s="3">
        <f t="shared" si="1"/>
        <v>0.51500000000000001</v>
      </c>
      <c r="E13" s="4"/>
      <c r="F13" s="4"/>
      <c r="G13" s="4"/>
      <c r="H13" s="4"/>
    </row>
    <row r="14" spans="1:8" ht="16.5" x14ac:dyDescent="0.25">
      <c r="A14" s="2" t="s">
        <v>20</v>
      </c>
      <c r="B14" s="3">
        <v>0.25</v>
      </c>
      <c r="C14" s="3">
        <f t="shared" si="0"/>
        <v>0.23499999999999999</v>
      </c>
      <c r="D14" s="3">
        <f t="shared" si="1"/>
        <v>0.26500000000000001</v>
      </c>
      <c r="E14" s="4"/>
      <c r="F14" s="4"/>
      <c r="G14" s="4"/>
      <c r="H14" s="4"/>
    </row>
    <row r="15" spans="1:8" ht="16.5" x14ac:dyDescent="0.25">
      <c r="A15" s="2" t="s">
        <v>16</v>
      </c>
      <c r="B15" s="3">
        <v>34.81</v>
      </c>
      <c r="C15" s="3">
        <f t="shared" si="0"/>
        <v>34.795000000000002</v>
      </c>
      <c r="D15" s="3">
        <f t="shared" si="1"/>
        <v>34.825000000000003</v>
      </c>
      <c r="E15" s="4"/>
      <c r="F15" s="4"/>
      <c r="G15" s="4"/>
      <c r="H15" s="4"/>
    </row>
    <row r="16" spans="1:8" ht="16.5" x14ac:dyDescent="0.25">
      <c r="A16" s="2" t="s">
        <v>17</v>
      </c>
      <c r="B16" s="3">
        <v>0.75</v>
      </c>
      <c r="C16" s="3">
        <f t="shared" si="0"/>
        <v>0.73499999999999999</v>
      </c>
      <c r="D16" s="3">
        <f t="shared" si="1"/>
        <v>0.76500000000000001</v>
      </c>
      <c r="E16" s="4"/>
      <c r="F16" s="4"/>
      <c r="G16" s="4"/>
      <c r="H16" s="4"/>
    </row>
    <row r="17" spans="1:8" ht="16.5" x14ac:dyDescent="0.25">
      <c r="A17" s="2" t="s">
        <v>18</v>
      </c>
      <c r="B17" s="3">
        <v>0.12</v>
      </c>
      <c r="C17" s="3">
        <f t="shared" si="0"/>
        <v>0.105</v>
      </c>
      <c r="D17" s="3">
        <f t="shared" si="1"/>
        <v>0.13500000000000001</v>
      </c>
      <c r="E17" s="4"/>
      <c r="F17" s="4"/>
      <c r="G17" s="4"/>
      <c r="H17" s="4"/>
    </row>
    <row r="18" spans="1:8" ht="16.5" x14ac:dyDescent="0.25">
      <c r="A18" s="2" t="s">
        <v>19</v>
      </c>
      <c r="B18" s="3">
        <v>2.95</v>
      </c>
      <c r="C18" s="3">
        <f t="shared" si="0"/>
        <v>2.9350000000000001</v>
      </c>
      <c r="D18" s="3">
        <f t="shared" si="1"/>
        <v>2.9650000000000003</v>
      </c>
      <c r="E18" s="4"/>
      <c r="F18" s="4"/>
      <c r="G18" s="4"/>
      <c r="H18" s="4"/>
    </row>
    <row r="19" spans="1:8" ht="16.5" x14ac:dyDescent="0.25">
      <c r="A19" s="2" t="s">
        <v>21</v>
      </c>
      <c r="B19" s="3">
        <v>2.8</v>
      </c>
      <c r="C19" s="3">
        <f t="shared" si="0"/>
        <v>2.7849999999999997</v>
      </c>
      <c r="D19" s="3">
        <f t="shared" si="1"/>
        <v>2.8149999999999999</v>
      </c>
      <c r="E19" s="4"/>
      <c r="F19" s="4"/>
      <c r="G19" s="4"/>
      <c r="H19" s="4"/>
    </row>
    <row r="20" spans="1:8" ht="16.5" x14ac:dyDescent="0.25">
      <c r="A20" s="2" t="s">
        <v>22</v>
      </c>
      <c r="B20" s="3">
        <v>0.23</v>
      </c>
      <c r="C20" s="3">
        <f t="shared" si="0"/>
        <v>0.21500000000000002</v>
      </c>
      <c r="D20" s="3">
        <f t="shared" si="1"/>
        <v>0.245</v>
      </c>
      <c r="E20" s="4"/>
      <c r="F20" s="4"/>
      <c r="G20" s="4"/>
      <c r="H20" s="4"/>
    </row>
    <row r="21" spans="1:8" x14ac:dyDescent="0.25">
      <c r="B21" s="1"/>
    </row>
    <row r="22" spans="1:8" x14ac:dyDescent="0.25">
      <c r="B22" s="1"/>
    </row>
    <row r="23" spans="1:8" x14ac:dyDescent="0.25">
      <c r="B23" s="1"/>
    </row>
  </sheetData>
  <customSheetViews>
    <customSheetView guid="{53DA60FB-F6FF-4099-BF26-7314F3349173}">
      <selection activeCell="K12" sqref="K1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5E724-26D4-4A8F-8953-1F9DA1A2F767}">
  <dimension ref="A1:E7"/>
  <sheetViews>
    <sheetView tabSelected="1" workbookViewId="0">
      <selection activeCell="H9" sqref="H9"/>
    </sheetView>
  </sheetViews>
  <sheetFormatPr baseColWidth="10" defaultRowHeight="15" x14ac:dyDescent="0.25"/>
  <sheetData>
    <row r="1" spans="1:5" x14ac:dyDescent="0.25">
      <c r="A1" s="4" t="s">
        <v>27</v>
      </c>
      <c r="B1" s="4" t="s">
        <v>28</v>
      </c>
      <c r="C1" s="4" t="s">
        <v>29</v>
      </c>
      <c r="D1" s="4" t="s">
        <v>2</v>
      </c>
      <c r="E1" s="4" t="s">
        <v>3</v>
      </c>
    </row>
    <row r="2" spans="1:5" x14ac:dyDescent="0.25">
      <c r="A2" s="4">
        <v>1</v>
      </c>
      <c r="B2" s="4" t="s">
        <v>30</v>
      </c>
      <c r="C2" s="5">
        <v>16.085000000000001</v>
      </c>
      <c r="D2" s="5">
        <f>C2-0.015</f>
        <v>16.07</v>
      </c>
      <c r="E2" s="5">
        <f>C2+0.015</f>
        <v>16.100000000000001</v>
      </c>
    </row>
    <row r="3" spans="1:5" x14ac:dyDescent="0.25">
      <c r="A3" s="4">
        <v>2</v>
      </c>
      <c r="B3" s="4" t="s">
        <v>30</v>
      </c>
      <c r="C3" s="5">
        <v>35.704999999999998</v>
      </c>
      <c r="D3" s="5">
        <f t="shared" ref="D3:D7" si="0">C3-0.015</f>
        <v>35.69</v>
      </c>
      <c r="E3" s="5">
        <f t="shared" ref="E3:E7" si="1">C3+0.015</f>
        <v>35.72</v>
      </c>
    </row>
    <row r="4" spans="1:5" x14ac:dyDescent="0.25">
      <c r="A4" s="4">
        <v>3</v>
      </c>
      <c r="B4" s="4" t="s">
        <v>30</v>
      </c>
      <c r="C4" s="5">
        <v>34.31</v>
      </c>
      <c r="D4" s="5">
        <f t="shared" si="0"/>
        <v>34.295000000000002</v>
      </c>
      <c r="E4" s="5">
        <f t="shared" si="1"/>
        <v>34.325000000000003</v>
      </c>
    </row>
    <row r="5" spans="1:5" x14ac:dyDescent="0.25">
      <c r="A5" s="4">
        <v>4</v>
      </c>
      <c r="B5" s="4" t="s">
        <v>30</v>
      </c>
      <c r="C5" s="5">
        <v>14.44</v>
      </c>
      <c r="D5" s="5">
        <f t="shared" si="0"/>
        <v>14.424999999999999</v>
      </c>
      <c r="E5" s="5">
        <f t="shared" si="1"/>
        <v>14.455</v>
      </c>
    </row>
    <row r="6" spans="1:5" x14ac:dyDescent="0.25">
      <c r="A6" s="4">
        <v>5</v>
      </c>
      <c r="B6" s="4" t="s">
        <v>30</v>
      </c>
      <c r="C6" s="5">
        <v>0.19</v>
      </c>
      <c r="D6" s="5">
        <f t="shared" si="0"/>
        <v>0.17499999999999999</v>
      </c>
      <c r="E6" s="5">
        <f t="shared" si="1"/>
        <v>0.20500000000000002</v>
      </c>
    </row>
    <row r="7" spans="1:5" x14ac:dyDescent="0.25">
      <c r="A7" s="4">
        <v>6</v>
      </c>
      <c r="B7" s="4" t="s">
        <v>30</v>
      </c>
      <c r="C7" s="5">
        <v>0.312</v>
      </c>
      <c r="D7" s="5">
        <f t="shared" si="0"/>
        <v>0.29699999999999999</v>
      </c>
      <c r="E7" s="5">
        <f t="shared" si="1"/>
        <v>0.32700000000000001</v>
      </c>
    </row>
  </sheetData>
  <customSheetViews>
    <customSheetView guid="{53DA60FB-F6FF-4099-BF26-7314F3349173}">
      <selection activeCell="H9" sqref="H9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2026-06-16T18:58:15Z</dcterms:created>
  <dcterms:modified xsi:type="dcterms:W3CDTF">2026-07-09T22:59:09Z</dcterms:modified>
</cp:coreProperties>
</file>